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unhi\Desktop\Excellence\excel-flow\backend\storage\generated\"/>
    </mc:Choice>
  </mc:AlternateContent>
  <xr:revisionPtr revIDLastSave="0" documentId="13_ncr:1_{4923BA71-2588-4A37-BC04-C4522DD591C4}" xr6:coauthVersionLast="47" xr6:coauthVersionMax="47" xr10:uidLastSave="{00000000-0000-0000-0000-000000000000}"/>
  <bookViews>
    <workbookView xWindow="2268" yWindow="2268" windowWidth="13980" windowHeight="8880" xr2:uid="{00000000-000D-0000-FFFF-FFFF00000000}"/>
  </bookViews>
  <sheets>
    <sheet name="Raw Data" sheetId="1" r:id="rId1"/>
    <sheet name="Calculations" sheetId="2" r:id="rId2"/>
    <sheet name="Analysis" sheetId="3" r:id="rId3"/>
    <sheet name="Charts" sheetId="4" r:id="rId4"/>
    <sheet name="Dashboard" sheetId="5" r:id="rId5"/>
    <sheet name="Assignment" sheetId="6" r:id="rId6"/>
  </sheets>
  <definedNames>
    <definedName name="Slicer_Product">#N/A</definedName>
    <definedName name="Slicer_Region">#N/A</definedName>
  </definedNames>
  <calcPr calcId="191029"/>
  <pivotCaches>
    <pivotCache cacheId="11" r:id="rId7"/>
    <pivotCache cacheId="1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7" i="1" l="1"/>
  <c r="K16" i="1"/>
  <c r="K15" i="1"/>
  <c r="K14" i="1"/>
  <c r="K13" i="1"/>
  <c r="K12" i="1"/>
  <c r="K11" i="1"/>
  <c r="K10" i="1"/>
  <c r="K9" i="1"/>
  <c r="K8" i="1"/>
  <c r="K7" i="1"/>
  <c r="K6" i="1"/>
  <c r="K5" i="1"/>
  <c r="K4" i="1"/>
  <c r="K3" i="1"/>
  <c r="K2" i="1"/>
</calcChain>
</file>

<file path=xl/sharedStrings.xml><?xml version="1.0" encoding="utf-8"?>
<sst xmlns="http://schemas.openxmlformats.org/spreadsheetml/2006/main" count="172" uniqueCount="72">
  <si>
    <t>Order ID</t>
  </si>
  <si>
    <t>Month</t>
  </si>
  <si>
    <t>Region</t>
  </si>
  <si>
    <t>Salesperson</t>
  </si>
  <si>
    <t>Product</t>
  </si>
  <si>
    <t>Customer Type</t>
  </si>
  <si>
    <t>Units Sold</t>
  </si>
  <si>
    <t>Unit Price</t>
  </si>
  <si>
    <t>Unit Cost</t>
  </si>
  <si>
    <t>Target Units</t>
  </si>
  <si>
    <t>Revenue</t>
  </si>
  <si>
    <t>ORD001</t>
  </si>
  <si>
    <t>January</t>
  </si>
  <si>
    <t>North</t>
  </si>
  <si>
    <t>Rahul</t>
  </si>
  <si>
    <t>Laptop Bag</t>
  </si>
  <si>
    <t>Corporate</t>
  </si>
  <si>
    <t>ORD002</t>
  </si>
  <si>
    <t>South</t>
  </si>
  <si>
    <t>Priya</t>
  </si>
  <si>
    <t>Keyboard</t>
  </si>
  <si>
    <t>Retail</t>
  </si>
  <si>
    <t>ORD003</t>
  </si>
  <si>
    <t>East</t>
  </si>
  <si>
    <t>Amit</t>
  </si>
  <si>
    <t>Monitor</t>
  </si>
  <si>
    <t>ORD004</t>
  </si>
  <si>
    <t>West</t>
  </si>
  <si>
    <t>Sneha</t>
  </si>
  <si>
    <t>Office Chair</t>
  </si>
  <si>
    <t>ORD005</t>
  </si>
  <si>
    <t>February</t>
  </si>
  <si>
    <t>ORD006</t>
  </si>
  <si>
    <t>ORD007</t>
  </si>
  <si>
    <t>ORD008</t>
  </si>
  <si>
    <t>ORD009</t>
  </si>
  <si>
    <t>March</t>
  </si>
  <si>
    <t>ORD010</t>
  </si>
  <si>
    <t>ORD011</t>
  </si>
  <si>
    <t>ORD012</t>
  </si>
  <si>
    <t>ORD013</t>
  </si>
  <si>
    <t>April</t>
  </si>
  <si>
    <t>ORD014</t>
  </si>
  <si>
    <t>ORD015</t>
  </si>
  <si>
    <t>ORD016</t>
  </si>
  <si>
    <t>Calculation Reference</t>
  </si>
  <si>
    <t>Calculation</t>
  </si>
  <si>
    <t>Formula</t>
  </si>
  <si>
    <t>Format</t>
  </si>
  <si>
    <t>Description</t>
  </si>
  <si>
    <t>'=[@[Units Sold]] * [@[Unit Price]]</t>
  </si>
  <si>
    <t>currency</t>
  </si>
  <si>
    <t>Calculates total sales revenue per order</t>
  </si>
  <si>
    <t>Charts &amp; Visualizations</t>
  </si>
  <si>
    <t>SALES PERFORMANCE DASHBOARD</t>
  </si>
  <si>
    <t>TOTAL SALES REVENUE</t>
  </si>
  <si>
    <t>TOTAL VOLUME SOLD</t>
  </si>
  <si>
    <t>AVG PRICE PER UNIT</t>
  </si>
  <si>
    <t>₹2,427,700</t>
  </si>
  <si>
    <t>1,340</t>
  </si>
  <si>
    <t>N/A</t>
  </si>
  <si>
    <t>Applied Filters</t>
  </si>
  <si>
    <t>✓ Region</t>
  </si>
  <si>
    <t>Type: autofilter (AutoFilter on Raw Data sheet)</t>
  </si>
  <si>
    <t>✓ Product</t>
  </si>
  <si>
    <t>ASSIGNMENT</t>
  </si>
  <si>
    <t>Create a Sales report analyzing Revenue by Region and Product.</t>
  </si>
  <si>
    <t>Executive Pivot Table &amp; Multi-Dimensional Analysis</t>
  </si>
  <si>
    <t>Revenue by Region — Interactive Pivot Table</t>
  </si>
  <si>
    <t>Grand Total</t>
  </si>
  <si>
    <t>Sum of Revenue</t>
  </si>
  <si>
    <t>Revenue by Product — Interactive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</si>
</sst>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6">
    <font>
      <sz val="11"/>
      <color theme="1"/>
      <name val="Calibri"/>
      <family val="2"/>
      <scheme val="minor"/>
    </font>
    <font>
      <b/>
      <sz val="11"/>
      <color rgb="FFFFFFFF"/>
      <name val="Calibri"/>
    </font>
    <font>
      <b/>
      <sz val="16"/>
      <color rgb="FF1B2A4A"/>
      <name val="Calibri"/>
    </font>
    <font>
      <b/>
      <sz val="11"/>
      <name val="Calibri"/>
    </font>
    <font>
      <sz val="10"/>
      <color rgb="FF2E86AB"/>
      <name val="Consolas"/>
    </font>
    <font>
      <b/>
      <sz val="18"/>
      <color rgb="FFFFFFFF"/>
      <name val="Calibri"/>
    </font>
    <font>
      <b/>
      <sz val="9"/>
      <color rgb="FF6B7B8D"/>
      <name val="Calibri"/>
    </font>
    <font>
      <b/>
      <sz val="22"/>
      <color rgb="FF2E86AB"/>
      <name val="Calibri"/>
    </font>
    <font>
      <b/>
      <sz val="22"/>
      <color rgb="FFA23B72"/>
      <name val="Calibri"/>
    </font>
    <font>
      <b/>
      <sz val="22"/>
      <color rgb="FFF18F01"/>
      <name val="Calibri"/>
    </font>
    <font>
      <b/>
      <sz val="12"/>
      <color rgb="FF1B2A4A"/>
      <name val="Calibri"/>
    </font>
    <font>
      <sz val="10"/>
      <color rgb="FF2CA58D"/>
      <name val="Calibri"/>
    </font>
    <font>
      <sz val="10"/>
      <color rgb="FF6B7B8D"/>
      <name val="Calibri"/>
    </font>
    <font>
      <sz val="11"/>
      <name val="Calibri"/>
    </font>
    <font>
      <b/>
      <sz val="16"/>
      <color rgb="FF1B2A4A"/>
      <name val="Calibri"/>
      <family val="2"/>
      <scheme val="minor"/>
    </font>
    <font>
      <b/>
      <sz val="12"/>
      <color rgb="FF2E86AB"/>
      <name val="Calibri"/>
      <family val="2"/>
      <scheme val="minor"/>
    </font>
  </fonts>
  <fills count="6">
    <fill>
      <patternFill patternType="none"/>
    </fill>
    <fill>
      <patternFill patternType="gray125"/>
    </fill>
    <fill>
      <patternFill patternType="solid">
        <fgColor rgb="FF1B2A4A"/>
        <bgColor rgb="FF1B2A4A"/>
      </patternFill>
    </fill>
    <fill>
      <patternFill patternType="solid">
        <fgColor rgb="FFF2F6FC"/>
        <bgColor rgb="FFF2F6FC"/>
      </patternFill>
    </fill>
    <fill>
      <patternFill patternType="solid">
        <fgColor rgb="FFF0F4F8"/>
        <bgColor rgb="FFF0F4F8"/>
      </patternFill>
    </fill>
    <fill>
      <patternFill patternType="solid">
        <fgColor rgb="FFFFFFFF"/>
        <bgColor rgb="FFFFFFFF"/>
      </patternFill>
    </fill>
  </fills>
  <borders count="3">
    <border>
      <left/>
      <right/>
      <top/>
      <bottom/>
      <diagonal/>
    </border>
    <border>
      <left style="thin">
        <color rgb="FFD9E2F3"/>
      </left>
      <right style="thin">
        <color rgb="FFD9E2F3"/>
      </right>
      <top/>
      <bottom style="thin">
        <color rgb="FF4472C4"/>
      </bottom>
      <diagonal/>
    </border>
    <border>
      <left style="thin">
        <color rgb="FFD1D9E6"/>
      </left>
      <right style="thin">
        <color rgb="FFD1D9E6"/>
      </right>
      <top style="thin">
        <color rgb="FFD1D9E6"/>
      </top>
      <bottom style="thin">
        <color rgb="FFD1D9E6"/>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164" fontId="0" fillId="0" borderId="0" xfId="0" applyNumberFormat="1"/>
    <xf numFmtId="0" fontId="3" fillId="3" borderId="0" xfId="0" applyFont="1" applyFill="1"/>
    <xf numFmtId="0" fontId="4" fillId="3" borderId="0" xfId="0" applyFont="1" applyFill="1"/>
    <xf numFmtId="0" fontId="0" fillId="3" borderId="0" xfId="0" applyFill="1"/>
    <xf numFmtId="0" fontId="11" fillId="0" borderId="0" xfId="0" applyFont="1"/>
    <xf numFmtId="0" fontId="12" fillId="0" borderId="0" xfId="0" applyFont="1"/>
    <xf numFmtId="0" fontId="2" fillId="0" borderId="0" xfId="0" applyFont="1" applyAlignment="1">
      <alignment vertical="center"/>
    </xf>
    <xf numFmtId="0" fontId="0" fillId="0" borderId="0" xfId="0"/>
    <xf numFmtId="0" fontId="2" fillId="0" borderId="0" xfId="0" applyFont="1"/>
    <xf numFmtId="0" fontId="5" fillId="2" borderId="0" xfId="0" applyFont="1" applyFill="1" applyAlignment="1">
      <alignment horizontal="center" vertical="center"/>
    </xf>
    <xf numFmtId="0" fontId="9" fillId="5" borderId="2" xfId="0" applyFont="1" applyFill="1" applyBorder="1" applyAlignment="1">
      <alignment horizontal="center" vertical="center"/>
    </xf>
    <xf numFmtId="0" fontId="7" fillId="5" borderId="2" xfId="0" applyFont="1" applyFill="1" applyBorder="1" applyAlignment="1">
      <alignment horizontal="center" vertical="center"/>
    </xf>
    <xf numFmtId="0" fontId="6" fillId="4" borderId="2" xfId="0" applyFont="1" applyFill="1" applyBorder="1" applyAlignment="1">
      <alignment horizontal="center" vertical="center"/>
    </xf>
    <xf numFmtId="0" fontId="10" fillId="0" borderId="0" xfId="0" applyFont="1" applyAlignment="1">
      <alignment horizontal="left" vertical="center"/>
    </xf>
    <xf numFmtId="0" fontId="8" fillId="5" borderId="2" xfId="0" applyFont="1" applyFill="1" applyBorder="1" applyAlignment="1">
      <alignment horizontal="center" vertical="center"/>
    </xf>
    <xf numFmtId="0" fontId="13" fillId="0" borderId="0" xfId="0" applyFont="1" applyAlignment="1">
      <alignment wrapText="1"/>
    </xf>
    <xf numFmtId="0" fontId="14" fillId="0" borderId="0" xfId="0" applyFont="1"/>
    <xf numFmtId="0" fontId="15" fillId="0" borderId="0" xfId="0" applyFont="1"/>
    <xf numFmtId="0" fontId="0" fillId="0" borderId="0" xfId="0" pivotButton="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[a816799e-db5e-4ce3-9b2b-3198dce919ae.xlsx]Analysis!PivotTable_1_Revenue</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Analysis!$B$5:$B$9</c:f>
              <c:strCache>
                <c:ptCount val="4"/>
                <c:pt idx="0">
                  <c:v>East</c:v>
                </c:pt>
                <c:pt idx="1">
                  <c:v>North</c:v>
                </c:pt>
                <c:pt idx="2">
                  <c:v>South</c:v>
                </c:pt>
                <c:pt idx="3">
                  <c:v>West</c:v>
                </c:pt>
              </c:strCache>
            </c:strRef>
          </c:cat>
          <c:val>
            <c:numRef>
              <c:f>Analysis!$C$5:$C$9</c:f>
              <c:numCache>
                <c:formatCode>\₹#,##0</c:formatCode>
                <c:ptCount val="4"/>
                <c:pt idx="0">
                  <c:v>563900</c:v>
                </c:pt>
                <c:pt idx="1">
                  <c:v>718100</c:v>
                </c:pt>
                <c:pt idx="2">
                  <c:v>612000</c:v>
                </c:pt>
                <c:pt idx="3">
                  <c:v>533700</c:v>
                </c:pt>
              </c:numCache>
            </c:numRef>
          </c:val>
          <c:extLst>
            <c:ext xmlns:c16="http://schemas.microsoft.com/office/drawing/2014/chart" uri="{C3380CC4-5D6E-409C-BE32-E72D297353CC}">
              <c16:uniqueId val="{00000001-D8BC-42D4-A622-0DAFD3F5B100}"/>
            </c:ext>
          </c:extLst>
        </c:ser>
        <c:dLbls>
          <c:showLegendKey val="0"/>
          <c:showVal val="0"/>
          <c:showCatName val="0"/>
          <c:showSerName val="0"/>
          <c:showPercent val="0"/>
          <c:showBubbleSize val="0"/>
        </c:dLbls>
        <c:gapWidth val="219"/>
        <c:overlap val="-27"/>
        <c:axId val="1841245615"/>
        <c:axId val="1748856783"/>
      </c:barChart>
      <c:catAx>
        <c:axId val="1841245615"/>
        <c:scaling>
          <c:orientation val="minMax"/>
        </c:scaling>
        <c:delete val="0"/>
        <c:axPos val="b"/>
        <c:majorGridlines>
          <c:spPr>
            <a:ln w="9525" cap="flat" cmpd="sng" algn="ctr">
              <a:solidFill>
                <a:schemeClr val="dk1">
                  <a:lumMod val="65000"/>
                  <a:lumOff val="35000"/>
                  <a:alpha val="75000"/>
                </a:schemeClr>
              </a:solidFill>
              <a:round/>
            </a:ln>
            <a:effectLst/>
          </c:spPr>
        </c:majorGridlines>
        <c:minorGridlines>
          <c:spPr>
            <a:ln w="9525" cap="flat" cmpd="sng" algn="ctr">
              <a:solidFill>
                <a:schemeClr val="dk1">
                  <a:lumMod val="65000"/>
                  <a:lumOff val="35000"/>
                  <a:alpha val="2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8856783"/>
        <c:crosses val="autoZero"/>
        <c:auto val="1"/>
        <c:lblAlgn val="ctr"/>
        <c:lblOffset val="100"/>
        <c:noMultiLvlLbl val="0"/>
      </c:catAx>
      <c:valAx>
        <c:axId val="174885678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124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[a816799e-db5e-4ce3-9b2b-3198dce919ae.xlsx]Analysis!PivotTable_2_Revenue</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Analysis!$C$28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Analysis!$B$29:$B$33</c:f>
              <c:strCache>
                <c:ptCount val="4"/>
                <c:pt idx="0">
                  <c:v>Keyboard</c:v>
                </c:pt>
                <c:pt idx="1">
                  <c:v>Laptop Bag</c:v>
                </c:pt>
                <c:pt idx="2">
                  <c:v>Monitor</c:v>
                </c:pt>
                <c:pt idx="3">
                  <c:v>Office Chair</c:v>
                </c:pt>
              </c:strCache>
            </c:strRef>
          </c:cat>
          <c:val>
            <c:numRef>
              <c:f>Analysis!$C$29:$C$33</c:f>
              <c:numCache>
                <c:formatCode>\₹#,##0</c:formatCode>
                <c:ptCount val="4"/>
                <c:pt idx="0">
                  <c:v>129200</c:v>
                </c:pt>
                <c:pt idx="1">
                  <c:v>203000</c:v>
                </c:pt>
                <c:pt idx="2">
                  <c:v>1148000</c:v>
                </c:pt>
                <c:pt idx="3">
                  <c:v>947500</c:v>
                </c:pt>
              </c:numCache>
            </c:numRef>
          </c:val>
          <c:extLst>
            <c:ext xmlns:c16="http://schemas.microsoft.com/office/drawing/2014/chart" uri="{C3380CC4-5D6E-409C-BE32-E72D297353CC}">
              <c16:uniqueId val="{00000001-D714-40FA-BF10-D46363B27BE4}"/>
            </c:ext>
          </c:extLst>
        </c:ser>
        <c:dLbls>
          <c:showLegendKey val="0"/>
          <c:showVal val="0"/>
          <c:showCatName val="0"/>
          <c:showSerName val="0"/>
          <c:showPercent val="0"/>
          <c:showBubbleSize val="0"/>
        </c:dLbls>
        <c:gapWidth val="219"/>
        <c:overlap val="-27"/>
        <c:axId val="1873015791"/>
        <c:axId val="1748896623"/>
      </c:barChart>
      <c:catAx>
        <c:axId val="1873015791"/>
        <c:scaling>
          <c:orientation val="minMax"/>
        </c:scaling>
        <c:delete val="0"/>
        <c:axPos val="l"/>
        <c:majorGridlines>
          <c:spPr>
            <a:ln w="9525" cap="flat" cmpd="sng" algn="ctr">
              <a:solidFill>
                <a:schemeClr val="dk1">
                  <a:lumMod val="65000"/>
                  <a:lumOff val="35000"/>
                  <a:alpha val="75000"/>
                </a:schemeClr>
              </a:solidFill>
              <a:round/>
            </a:ln>
            <a:effectLst/>
          </c:spPr>
        </c:majorGridlines>
        <c:minorGridlines>
          <c:spPr>
            <a:ln w="9525" cap="flat" cmpd="sng" algn="ctr">
              <a:solidFill>
                <a:schemeClr val="dk1">
                  <a:lumMod val="65000"/>
                  <a:lumOff val="35000"/>
                  <a:alpha val="2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8896623"/>
        <c:crosses val="autoZero"/>
        <c:auto val="1"/>
        <c:lblAlgn val="ctr"/>
        <c:lblOffset val="100"/>
        <c:noMultiLvlLbl val="0"/>
      </c:catAx>
      <c:valAx>
        <c:axId val="1748896623"/>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301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Revenue by Region</a:t>
            </a:r>
          </a:p>
        </c:rich>
      </c:tx>
      <c:overlay val="1"/>
    </c:title>
    <c:autoTitleDeleted val="0"/>
    <c:plotArea>
      <c:layout/>
      <c:barChart>
        <c:barDir val="col"/>
        <c:grouping val="clustered"/>
        <c:varyColors val="1"/>
        <c:ser>
          <c:idx val="0"/>
          <c:order val="0"/>
          <c:tx>
            <c:strRef>
              <c:f>Charts!$K$3</c:f>
              <c:strCache>
                <c:ptCount val="1"/>
                <c:pt idx="0">
                  <c:v>Revenue</c:v>
                </c:pt>
              </c:strCache>
            </c:strRef>
          </c:tx>
          <c:spPr>
            <a:ln>
              <a:prstDash val="solid"/>
            </a:ln>
          </c:spPr>
          <c:invertIfNegative val="1"/>
          <c:cat>
            <c:strRef>
              <c:f>Charts!$J$4:$J$7</c:f>
              <c:strCache>
                <c:ptCount val="4"/>
                <c:pt idx="0">
                  <c:v>West</c:v>
                </c:pt>
                <c:pt idx="1">
                  <c:v>South</c:v>
                </c:pt>
                <c:pt idx="2">
                  <c:v>North</c:v>
                </c:pt>
                <c:pt idx="3">
                  <c:v>East</c:v>
                </c:pt>
              </c:strCache>
            </c:strRef>
          </c:cat>
          <c:val>
            <c:numRef>
              <c:f>Charts!$K$4:$K$7</c:f>
              <c:numCache>
                <c:formatCode>General</c:formatCode>
                <c:ptCount val="4"/>
                <c:pt idx="0">
                  <c:v>533700</c:v>
                </c:pt>
                <c:pt idx="1">
                  <c:v>612000</c:v>
                </c:pt>
                <c:pt idx="2">
                  <c:v>718100</c:v>
                </c:pt>
                <c:pt idx="3">
                  <c:v>563900</c:v>
                </c:pt>
              </c:numCache>
            </c:numRef>
          </c:val>
          <c:extLst>
            <c:ext xmlns:c16="http://schemas.microsoft.com/office/drawing/2014/chart" uri="{C3380CC4-5D6E-409C-BE32-E72D297353CC}">
              <c16:uniqueId val="{00000000-80C9-4A04-8D33-C0E4107038F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Region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Total Revenue ($)</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Revenue by Product</a:t>
            </a:r>
          </a:p>
        </c:rich>
      </c:tx>
      <c:overlay val="1"/>
    </c:title>
    <c:autoTitleDeleted val="0"/>
    <c:plotArea>
      <c:layout/>
      <c:barChart>
        <c:barDir val="bar"/>
        <c:grouping val="clustered"/>
        <c:varyColors val="1"/>
        <c:ser>
          <c:idx val="0"/>
          <c:order val="0"/>
          <c:tx>
            <c:strRef>
              <c:f>Charts!$K$19</c:f>
              <c:strCache>
                <c:ptCount val="1"/>
                <c:pt idx="0">
                  <c:v>Revenue</c:v>
                </c:pt>
              </c:strCache>
            </c:strRef>
          </c:tx>
          <c:spPr>
            <a:ln>
              <a:prstDash val="solid"/>
            </a:ln>
          </c:spPr>
          <c:invertIfNegative val="1"/>
          <c:cat>
            <c:strRef>
              <c:f>Charts!$J$20:$J$23</c:f>
              <c:strCache>
                <c:ptCount val="4"/>
                <c:pt idx="0">
                  <c:v>Office Chair</c:v>
                </c:pt>
                <c:pt idx="1">
                  <c:v>Monitor</c:v>
                </c:pt>
                <c:pt idx="2">
                  <c:v>Laptop Bag</c:v>
                </c:pt>
                <c:pt idx="3">
                  <c:v>Keyboard</c:v>
                </c:pt>
              </c:strCache>
            </c:strRef>
          </c:cat>
          <c:val>
            <c:numRef>
              <c:f>Charts!$K$20:$K$23</c:f>
              <c:numCache>
                <c:formatCode>General</c:formatCode>
                <c:ptCount val="4"/>
                <c:pt idx="0">
                  <c:v>947500</c:v>
                </c:pt>
                <c:pt idx="1">
                  <c:v>1148000</c:v>
                </c:pt>
                <c:pt idx="2">
                  <c:v>203000</c:v>
                </c:pt>
                <c:pt idx="3">
                  <c:v>129200</c:v>
                </c:pt>
              </c:numCache>
            </c:numRef>
          </c:val>
          <c:extLst>
            <c:ext xmlns:c16="http://schemas.microsoft.com/office/drawing/2014/chart" uri="{C3380CC4-5D6E-409C-BE32-E72D297353CC}">
              <c16:uniqueId val="{00000000-AA3D-4FD4-B69F-08F5D1E879B7}"/>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t>Total Revenue ($)</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t>Product</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Revenue by Region</a:t>
            </a:r>
          </a:p>
        </c:rich>
      </c:tx>
      <c:overlay val="1"/>
    </c:title>
    <c:autoTitleDeleted val="0"/>
    <c:plotArea>
      <c:layout/>
      <c:barChart>
        <c:barDir val="col"/>
        <c:grouping val="clustered"/>
        <c:varyColors val="1"/>
        <c:ser>
          <c:idx val="0"/>
          <c:order val="0"/>
          <c:tx>
            <c:strRef>
              <c:f>Dashboard!$Q$3</c:f>
              <c:strCache>
                <c:ptCount val="1"/>
                <c:pt idx="0">
                  <c:v>Revenue</c:v>
                </c:pt>
              </c:strCache>
            </c:strRef>
          </c:tx>
          <c:spPr>
            <a:ln>
              <a:prstDash val="solid"/>
            </a:ln>
          </c:spPr>
          <c:invertIfNegative val="1"/>
          <c:cat>
            <c:strRef>
              <c:f>Dashboard!$P$4:$P$7</c:f>
              <c:strCache>
                <c:ptCount val="4"/>
                <c:pt idx="0">
                  <c:v>West</c:v>
                </c:pt>
                <c:pt idx="1">
                  <c:v>South</c:v>
                </c:pt>
                <c:pt idx="2">
                  <c:v>North</c:v>
                </c:pt>
                <c:pt idx="3">
                  <c:v>East</c:v>
                </c:pt>
              </c:strCache>
            </c:strRef>
          </c:cat>
          <c:val>
            <c:numRef>
              <c:f>Dashboard!$Q$4:$Q$7</c:f>
              <c:numCache>
                <c:formatCode>General</c:formatCode>
                <c:ptCount val="4"/>
                <c:pt idx="0">
                  <c:v>533700</c:v>
                </c:pt>
                <c:pt idx="1">
                  <c:v>612000</c:v>
                </c:pt>
                <c:pt idx="2">
                  <c:v>718100</c:v>
                </c:pt>
                <c:pt idx="3">
                  <c:v>563900</c:v>
                </c:pt>
              </c:numCache>
            </c:numRef>
          </c:val>
          <c:extLst>
            <c:ext xmlns:c16="http://schemas.microsoft.com/office/drawing/2014/chart" uri="{C3380CC4-5D6E-409C-BE32-E72D297353CC}">
              <c16:uniqueId val="{00000000-A161-40B0-BDA6-E5B425F2251E}"/>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Region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Total Revenue ($)</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Revenue by Product</a:t>
            </a:r>
          </a:p>
        </c:rich>
      </c:tx>
      <c:overlay val="1"/>
    </c:title>
    <c:autoTitleDeleted val="0"/>
    <c:plotArea>
      <c:layout/>
      <c:barChart>
        <c:barDir val="bar"/>
        <c:grouping val="clustered"/>
        <c:varyColors val="1"/>
        <c:ser>
          <c:idx val="0"/>
          <c:order val="0"/>
          <c:tx>
            <c:strRef>
              <c:f>Dashboard!$T$3</c:f>
              <c:strCache>
                <c:ptCount val="1"/>
                <c:pt idx="0">
                  <c:v>Revenue</c:v>
                </c:pt>
              </c:strCache>
            </c:strRef>
          </c:tx>
          <c:spPr>
            <a:ln>
              <a:prstDash val="solid"/>
            </a:ln>
          </c:spPr>
          <c:invertIfNegative val="1"/>
          <c:cat>
            <c:strRef>
              <c:f>Dashboard!$S$4:$S$7</c:f>
              <c:strCache>
                <c:ptCount val="4"/>
                <c:pt idx="0">
                  <c:v>Office Chair</c:v>
                </c:pt>
                <c:pt idx="1">
                  <c:v>Monitor</c:v>
                </c:pt>
                <c:pt idx="2">
                  <c:v>Laptop Bag</c:v>
                </c:pt>
                <c:pt idx="3">
                  <c:v>Keyboard</c:v>
                </c:pt>
              </c:strCache>
            </c:strRef>
          </c:cat>
          <c:val>
            <c:numRef>
              <c:f>Dashboard!$T$4:$T$7</c:f>
              <c:numCache>
                <c:formatCode>General</c:formatCode>
                <c:ptCount val="4"/>
                <c:pt idx="0">
                  <c:v>947500</c:v>
                </c:pt>
                <c:pt idx="1">
                  <c:v>1148000</c:v>
                </c:pt>
                <c:pt idx="2">
                  <c:v>203000</c:v>
                </c:pt>
                <c:pt idx="3">
                  <c:v>129200</c:v>
                </c:pt>
              </c:numCache>
            </c:numRef>
          </c:val>
          <c:extLst>
            <c:ext xmlns:c16="http://schemas.microsoft.com/office/drawing/2014/chart" uri="{C3380CC4-5D6E-409C-BE32-E72D297353CC}">
              <c16:uniqueId val="{00000000-CB10-4032-B951-AD0D30B5104F}"/>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t>Total Revenue ($)</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t>Product</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3</xdr:col>
      <xdr:colOff>251460</xdr:colOff>
      <xdr:row>2</xdr:row>
      <xdr:rowOff>175260</xdr:rowOff>
    </xdr:from>
    <xdr:to>
      <xdr:col>6</xdr:col>
      <xdr:colOff>22860</xdr:colOff>
      <xdr:row>16</xdr:row>
      <xdr:rowOff>66675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161B0418-0689-DD74-6613-9EA6663938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51860" y="800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381000</xdr:colOff>
      <xdr:row>15</xdr:row>
      <xdr:rowOff>30480</xdr:rowOff>
    </xdr:from>
    <xdr:to>
      <xdr:col>7</xdr:col>
      <xdr:colOff>533400</xdr:colOff>
      <xdr:row>34</xdr:row>
      <xdr:rowOff>111760</xdr:rowOff>
    </xdr:to>
    <xdr:graphicFrame macro="">
      <xdr:nvGraphicFramePr>
        <xdr:cNvPr id="3" name="Chart 2">
          <a:extLst>
            <a:ext uri="{FF2B5EF4-FFF2-40B4-BE49-F238E27FC236}">
              <a16:creationId xmlns:a16="http://schemas.microsoft.com/office/drawing/2014/main" id="{5A3182E0-0139-31DF-9928-FE3844636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251460</xdr:colOff>
      <xdr:row>2</xdr:row>
      <xdr:rowOff>175260</xdr:rowOff>
    </xdr:from>
    <xdr:to>
      <xdr:col>6</xdr:col>
      <xdr:colOff>22860</xdr:colOff>
      <xdr:row>16</xdr:row>
      <xdr:rowOff>66675</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1D67EC1D-2E07-6FA2-6C1F-99347802870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451860" y="800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381000</xdr:colOff>
      <xdr:row>48</xdr:row>
      <xdr:rowOff>76200</xdr:rowOff>
    </xdr:from>
    <xdr:to>
      <xdr:col>7</xdr:col>
      <xdr:colOff>533400</xdr:colOff>
      <xdr:row>67</xdr:row>
      <xdr:rowOff>157480</xdr:rowOff>
    </xdr:to>
    <xdr:graphicFrame macro="">
      <xdr:nvGraphicFramePr>
        <xdr:cNvPr id="5" name="Chart 4">
          <a:extLst>
            <a:ext uri="{FF2B5EF4-FFF2-40B4-BE49-F238E27FC236}">
              <a16:creationId xmlns:a16="http://schemas.microsoft.com/office/drawing/2014/main" id="{8B6277C1-E1DD-73E1-C4DC-B6945B2A03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2</xdr:row>
      <xdr:rowOff>0</xdr:rowOff>
    </xdr:from>
    <xdr:ext cx="4320000" cy="25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18</xdr:row>
      <xdr:rowOff>0</xdr:rowOff>
    </xdr:from>
    <xdr:ext cx="4320000" cy="252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7</xdr:row>
      <xdr:rowOff>0</xdr:rowOff>
    </xdr:from>
    <xdr:ext cx="3600000" cy="288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7</xdr:row>
      <xdr:rowOff>0</xdr:rowOff>
    </xdr:from>
    <xdr:ext cx="3600000" cy="288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hith Reddy" refreshedDate="46275.409880671294" createdVersion="8" refreshedVersion="8" minRefreshableVersion="3" recordCount="16" xr:uid="{EF631F11-4AF0-4245-BA1F-18426D97BD5C}">
  <cacheSource type="worksheet">
    <worksheetSource ref="A1:K17" sheet="Raw Data"/>
  </cacheSource>
  <cacheFields count="11">
    <cacheField name="Order ID" numFmtId="0">
      <sharedItems/>
    </cacheField>
    <cacheField name="Month" numFmtId="0">
      <sharedItems/>
    </cacheField>
    <cacheField name="Region" numFmtId="0">
      <sharedItems/>
    </cacheField>
    <cacheField name="Salesperson" numFmtId="0">
      <sharedItems/>
    </cacheField>
    <cacheField name="Product" numFmtId="0">
      <sharedItems count="4">
        <s v="Laptop Bag"/>
        <s v="Keyboard"/>
        <s v="Monitor"/>
        <s v="Office Chair"/>
      </sharedItems>
    </cacheField>
    <cacheField name="Customer Type" numFmtId="0">
      <sharedItems/>
    </cacheField>
    <cacheField name="Units Sold" numFmtId="0">
      <sharedItems containsSemiMixedTypes="0" containsString="0" containsNumber="1" containsInteger="1" minValue="45" maxValue="130"/>
    </cacheField>
    <cacheField name="Unit Price" numFmtId="0">
      <sharedItems containsSemiMixedTypes="0" containsString="0" containsNumber="1" containsInteger="1" minValue="340" maxValue="5500"/>
    </cacheField>
    <cacheField name="Unit Cost" numFmtId="0">
      <sharedItems containsSemiMixedTypes="0" containsString="0" containsNumber="1" containsInteger="1" minValue="190" maxValue="3800"/>
    </cacheField>
    <cacheField name="Target Units" numFmtId="0">
      <sharedItems containsSemiMixedTypes="0" containsString="0" containsNumber="1" containsInteger="1" minValue="50" maxValue="120"/>
    </cacheField>
    <cacheField name="Revenue" numFmtId="164">
      <sharedItems containsSemiMixedTypes="0" containsString="0" containsNumber="1" containsInteger="1" minValue="25500" maxValue="344500"/>
    </cacheField>
  </cacheFields>
  <extLst>
    <ext xmlns:x14="http://schemas.microsoft.com/office/spreadsheetml/2009/9/main" uri="{725AE2AE-9491-48be-B2B4-4EB974FC3084}">
      <x14:pivotCacheDefinition pivotCacheId="1065770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hith Reddy" refreshedDate="46275.409880671294" createdVersion="8" refreshedVersion="8" minRefreshableVersion="3" recordCount="16" xr:uid="{2B220657-1E34-495F-B28F-BBA4F3D59D12}">
  <cacheSource type="worksheet">
    <worksheetSource ref="A1:K17" sheet="Raw Data"/>
  </cacheSource>
  <cacheFields count="11">
    <cacheField name="Order ID" numFmtId="0">
      <sharedItems/>
    </cacheField>
    <cacheField name="Month" numFmtId="0">
      <sharedItems/>
    </cacheField>
    <cacheField name="Region" numFmtId="0">
      <sharedItems count="4">
        <s v="North"/>
        <s v="South"/>
        <s v="East"/>
        <s v="West"/>
      </sharedItems>
    </cacheField>
    <cacheField name="Salesperson" numFmtId="0">
      <sharedItems/>
    </cacheField>
    <cacheField name="Product" numFmtId="0">
      <sharedItems/>
    </cacheField>
    <cacheField name="Customer Type" numFmtId="0">
      <sharedItems/>
    </cacheField>
    <cacheField name="Units Sold" numFmtId="0">
      <sharedItems containsSemiMixedTypes="0" containsString="0" containsNumber="1" containsInteger="1" minValue="45" maxValue="130"/>
    </cacheField>
    <cacheField name="Unit Price" numFmtId="0">
      <sharedItems containsSemiMixedTypes="0" containsString="0" containsNumber="1" containsInteger="1" minValue="340" maxValue="5500"/>
    </cacheField>
    <cacheField name="Unit Cost" numFmtId="0">
      <sharedItems containsSemiMixedTypes="0" containsString="0" containsNumber="1" containsInteger="1" minValue="190" maxValue="3800"/>
    </cacheField>
    <cacheField name="Target Units" numFmtId="0">
      <sharedItems containsSemiMixedTypes="0" containsString="0" containsNumber="1" containsInteger="1" minValue="50" maxValue="120"/>
    </cacheField>
    <cacheField name="Revenue" numFmtId="164">
      <sharedItems containsSemiMixedTypes="0" containsString="0" containsNumber="1" containsInteger="1" minValue="25500" maxValue="344500"/>
    </cacheField>
  </cacheFields>
  <extLst>
    <ext xmlns:x14="http://schemas.microsoft.com/office/spreadsheetml/2009/9/main" uri="{725AE2AE-9491-48be-B2B4-4EB974FC3084}">
      <x14:pivotCacheDefinition pivotCacheId="14123386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ORD001"/>
    <s v="January"/>
    <s v="North"/>
    <s v="Rahul"/>
    <x v="0"/>
    <s v="Corporate"/>
    <n v="120"/>
    <n v="450"/>
    <n v="280"/>
    <n v="100"/>
    <n v="54000"/>
  </r>
  <r>
    <s v="ORD002"/>
    <s v="January"/>
    <s v="South"/>
    <s v="Priya"/>
    <x v="1"/>
    <s v="Retail"/>
    <n v="80"/>
    <n v="350"/>
    <n v="200"/>
    <n v="90"/>
    <n v="28000"/>
  </r>
  <r>
    <s v="ORD003"/>
    <s v="January"/>
    <s v="East"/>
    <s v="Amit"/>
    <x v="2"/>
    <s v="Corporate"/>
    <n v="45"/>
    <n v="5500"/>
    <n v="3800"/>
    <n v="50"/>
    <n v="247500"/>
  </r>
  <r>
    <s v="ORD004"/>
    <s v="January"/>
    <s v="West"/>
    <s v="Sneha"/>
    <x v="3"/>
    <s v="Retail"/>
    <n v="60"/>
    <n v="3200"/>
    <n v="2100"/>
    <n v="55"/>
    <n v="192000"/>
  </r>
  <r>
    <s v="ORD005"/>
    <s v="February"/>
    <s v="North"/>
    <s v="Rahul"/>
    <x v="1"/>
    <s v="Corporate"/>
    <n v="95"/>
    <n v="380"/>
    <n v="210"/>
    <n v="100"/>
    <n v="36100"/>
  </r>
  <r>
    <s v="ORD006"/>
    <s v="February"/>
    <s v="South"/>
    <s v="Priya"/>
    <x v="2"/>
    <s v="Retail"/>
    <n v="55"/>
    <n v="5200"/>
    <n v="3600"/>
    <n v="60"/>
    <n v="286000"/>
  </r>
  <r>
    <s v="ORD007"/>
    <s v="February"/>
    <s v="East"/>
    <s v="Amit"/>
    <x v="3"/>
    <s v="Corporate"/>
    <n v="70"/>
    <n v="3100"/>
    <n v="2000"/>
    <n v="65"/>
    <n v="217000"/>
  </r>
  <r>
    <s v="ORD008"/>
    <s v="February"/>
    <s v="West"/>
    <s v="Sneha"/>
    <x v="0"/>
    <s v="Retail"/>
    <n v="110"/>
    <n v="420"/>
    <n v="260"/>
    <n v="100"/>
    <n v="46200"/>
  </r>
  <r>
    <s v="ORD009"/>
    <s v="March"/>
    <s v="North"/>
    <s v="Rahul"/>
    <x v="2"/>
    <s v="Corporate"/>
    <n v="65"/>
    <n v="5300"/>
    <n v="3700"/>
    <n v="60"/>
    <n v="344500"/>
  </r>
  <r>
    <s v="ORD010"/>
    <s v="March"/>
    <s v="South"/>
    <s v="Priya"/>
    <x v="3"/>
    <s v="Retail"/>
    <n v="85"/>
    <n v="3000"/>
    <n v="1950"/>
    <n v="80"/>
    <n v="255000"/>
  </r>
  <r>
    <s v="ORD011"/>
    <s v="March"/>
    <s v="East"/>
    <s v="Amit"/>
    <x v="0"/>
    <s v="Corporate"/>
    <n v="130"/>
    <n v="460"/>
    <n v="290"/>
    <n v="120"/>
    <n v="59800"/>
  </r>
  <r>
    <s v="ORD012"/>
    <s v="March"/>
    <s v="West"/>
    <s v="Sneha"/>
    <x v="1"/>
    <s v="Retail"/>
    <n v="75"/>
    <n v="340"/>
    <n v="190"/>
    <n v="80"/>
    <n v="25500"/>
  </r>
  <r>
    <s v="ORD013"/>
    <s v="April"/>
    <s v="North"/>
    <s v="Rahul"/>
    <x v="3"/>
    <s v="Corporate"/>
    <n v="90"/>
    <n v="3150"/>
    <n v="2050"/>
    <n v="85"/>
    <n v="283500"/>
  </r>
  <r>
    <s v="ORD014"/>
    <s v="April"/>
    <s v="South"/>
    <s v="Priya"/>
    <x v="0"/>
    <s v="Retail"/>
    <n v="100"/>
    <n v="430"/>
    <n v="270"/>
    <n v="95"/>
    <n v="43000"/>
  </r>
  <r>
    <s v="ORD015"/>
    <s v="April"/>
    <s v="East"/>
    <s v="Amit"/>
    <x v="1"/>
    <s v="Corporate"/>
    <n v="110"/>
    <n v="360"/>
    <n v="205"/>
    <n v="100"/>
    <n v="39600"/>
  </r>
  <r>
    <s v="ORD016"/>
    <s v="April"/>
    <s v="West"/>
    <s v="Sneha"/>
    <x v="2"/>
    <s v="Corporate"/>
    <n v="50"/>
    <n v="5400"/>
    <n v="3750"/>
    <n v="55"/>
    <n v="27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ORD001"/>
    <s v="January"/>
    <x v="0"/>
    <s v="Rahul"/>
    <s v="Laptop Bag"/>
    <s v="Corporate"/>
    <n v="120"/>
    <n v="450"/>
    <n v="280"/>
    <n v="100"/>
    <n v="54000"/>
  </r>
  <r>
    <s v="ORD002"/>
    <s v="January"/>
    <x v="1"/>
    <s v="Priya"/>
    <s v="Keyboard"/>
    <s v="Retail"/>
    <n v="80"/>
    <n v="350"/>
    <n v="200"/>
    <n v="90"/>
    <n v="28000"/>
  </r>
  <r>
    <s v="ORD003"/>
    <s v="January"/>
    <x v="2"/>
    <s v="Amit"/>
    <s v="Monitor"/>
    <s v="Corporate"/>
    <n v="45"/>
    <n v="5500"/>
    <n v="3800"/>
    <n v="50"/>
    <n v="247500"/>
  </r>
  <r>
    <s v="ORD004"/>
    <s v="January"/>
    <x v="3"/>
    <s v="Sneha"/>
    <s v="Office Chair"/>
    <s v="Retail"/>
    <n v="60"/>
    <n v="3200"/>
    <n v="2100"/>
    <n v="55"/>
    <n v="192000"/>
  </r>
  <r>
    <s v="ORD005"/>
    <s v="February"/>
    <x v="0"/>
    <s v="Rahul"/>
    <s v="Keyboard"/>
    <s v="Corporate"/>
    <n v="95"/>
    <n v="380"/>
    <n v="210"/>
    <n v="100"/>
    <n v="36100"/>
  </r>
  <r>
    <s v="ORD006"/>
    <s v="February"/>
    <x v="1"/>
    <s v="Priya"/>
    <s v="Monitor"/>
    <s v="Retail"/>
    <n v="55"/>
    <n v="5200"/>
    <n v="3600"/>
    <n v="60"/>
    <n v="286000"/>
  </r>
  <r>
    <s v="ORD007"/>
    <s v="February"/>
    <x v="2"/>
    <s v="Amit"/>
    <s v="Office Chair"/>
    <s v="Corporate"/>
    <n v="70"/>
    <n v="3100"/>
    <n v="2000"/>
    <n v="65"/>
    <n v="217000"/>
  </r>
  <r>
    <s v="ORD008"/>
    <s v="February"/>
    <x v="3"/>
    <s v="Sneha"/>
    <s v="Laptop Bag"/>
    <s v="Retail"/>
    <n v="110"/>
    <n v="420"/>
    <n v="260"/>
    <n v="100"/>
    <n v="46200"/>
  </r>
  <r>
    <s v="ORD009"/>
    <s v="March"/>
    <x v="0"/>
    <s v="Rahul"/>
    <s v="Monitor"/>
    <s v="Corporate"/>
    <n v="65"/>
    <n v="5300"/>
    <n v="3700"/>
    <n v="60"/>
    <n v="344500"/>
  </r>
  <r>
    <s v="ORD010"/>
    <s v="March"/>
    <x v="1"/>
    <s v="Priya"/>
    <s v="Office Chair"/>
    <s v="Retail"/>
    <n v="85"/>
    <n v="3000"/>
    <n v="1950"/>
    <n v="80"/>
    <n v="255000"/>
  </r>
  <r>
    <s v="ORD011"/>
    <s v="March"/>
    <x v="2"/>
    <s v="Amit"/>
    <s v="Laptop Bag"/>
    <s v="Corporate"/>
    <n v="130"/>
    <n v="460"/>
    <n v="290"/>
    <n v="120"/>
    <n v="59800"/>
  </r>
  <r>
    <s v="ORD012"/>
    <s v="March"/>
    <x v="3"/>
    <s v="Sneha"/>
    <s v="Keyboard"/>
    <s v="Retail"/>
    <n v="75"/>
    <n v="340"/>
    <n v="190"/>
    <n v="80"/>
    <n v="25500"/>
  </r>
  <r>
    <s v="ORD013"/>
    <s v="April"/>
    <x v="0"/>
    <s v="Rahul"/>
    <s v="Office Chair"/>
    <s v="Corporate"/>
    <n v="90"/>
    <n v="3150"/>
    <n v="2050"/>
    <n v="85"/>
    <n v="283500"/>
  </r>
  <r>
    <s v="ORD014"/>
    <s v="April"/>
    <x v="1"/>
    <s v="Priya"/>
    <s v="Laptop Bag"/>
    <s v="Retail"/>
    <n v="100"/>
    <n v="430"/>
    <n v="270"/>
    <n v="95"/>
    <n v="43000"/>
  </r>
  <r>
    <s v="ORD015"/>
    <s v="April"/>
    <x v="2"/>
    <s v="Amit"/>
    <s v="Keyboard"/>
    <s v="Corporate"/>
    <n v="110"/>
    <n v="360"/>
    <n v="205"/>
    <n v="100"/>
    <n v="39600"/>
  </r>
  <r>
    <s v="ORD016"/>
    <s v="April"/>
    <x v="3"/>
    <s v="Sneha"/>
    <s v="Monitor"/>
    <s v="Corporate"/>
    <n v="50"/>
    <n v="5400"/>
    <n v="3750"/>
    <n v="55"/>
    <n v="27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67D9E8-054C-4D48-BD6F-36829E46A89A}" name="PivotTable_2_Revenue"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28:C33" firstHeaderRow="1" firstDataRow="1" firstDataCol="1"/>
  <pivotFields count="11">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5">
        <item x="1"/>
        <item x="0"/>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s>
  <rowFields count="1">
    <field x="4"/>
  </rowFields>
  <rowItems count="5">
    <i>
      <x/>
    </i>
    <i>
      <x v="1"/>
    </i>
    <i>
      <x v="2"/>
    </i>
    <i>
      <x v="3"/>
    </i>
    <i t="grand">
      <x/>
    </i>
  </rowItems>
  <colItems count="1">
    <i/>
  </colItems>
  <dataFields count="1">
    <dataField name="Sum of Revenue" fld="10"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6BB773-2C3F-4043-90E8-95BFEC1D0121}" name="PivotTable_1_Revenue"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4:C9" firstHeaderRow="1" firstDataRow="1" firstDataCol="1"/>
  <pivotFields count="11">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5">
        <item x="2"/>
        <item x="0"/>
        <item x="1"/>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s>
  <rowFields count="1">
    <field x="2"/>
  </rowFields>
  <rowItems count="5">
    <i>
      <x/>
    </i>
    <i>
      <x v="1"/>
    </i>
    <i>
      <x v="2"/>
    </i>
    <i>
      <x v="3"/>
    </i>
    <i t="grand">
      <x/>
    </i>
  </rowItems>
  <colItems count="1">
    <i/>
  </colItems>
  <dataFields count="1">
    <dataField name="Sum of Revenue" fld="10"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3C2C6B-7661-4DC7-8733-C5F09A9D2811}" sourceName="Region">
  <pivotTables>
    <pivotTable tabId="3" name="PivotTable_1_Revenue"/>
  </pivotTables>
  <data>
    <tabular pivotCacheId="141233869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8F92484-D206-4EC0-BADD-3A390E12078F}" sourceName="Product">
  <pivotTables>
    <pivotTable tabId="3" name="PivotTable_2_Revenue"/>
  </pivotTables>
  <data>
    <tabular pivotCacheId="106577045">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ECE7269-0353-4DF0-9E02-F8328C99E432}" cache="Slicer_Region" caption="Region" style="SlicerStyleLight2" rowHeight="234950"/>
  <slicer name="Product" xr10:uid="{0ACE4B8E-8B37-44E9-9E66-15C58FDB084D}" cache="Slicer_Product" caption="Product"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Table" displayName="DataTable" ref="A1:K17">
  <autoFilter ref="A1:K17" xr:uid="{00000000-0009-0000-0100-000001000000}"/>
  <tableColumns count="11">
    <tableColumn id="1" xr3:uid="{00000000-0010-0000-0000-000001000000}" name="Order ID"/>
    <tableColumn id="2" xr3:uid="{00000000-0010-0000-0000-000002000000}" name="Month"/>
    <tableColumn id="3" xr3:uid="{00000000-0010-0000-0000-000003000000}" name="Region"/>
    <tableColumn id="4" xr3:uid="{00000000-0010-0000-0000-000004000000}" name="Salesperson"/>
    <tableColumn id="5" xr3:uid="{00000000-0010-0000-0000-000005000000}" name="Product"/>
    <tableColumn id="6" xr3:uid="{00000000-0010-0000-0000-000006000000}" name="Customer Type"/>
    <tableColumn id="7" xr3:uid="{00000000-0010-0000-0000-000007000000}" name="Units Sold"/>
    <tableColumn id="8" xr3:uid="{00000000-0010-0000-0000-000008000000}" name="Unit Price"/>
    <tableColumn id="9" xr3:uid="{00000000-0010-0000-0000-000009000000}" name="Unit Cost"/>
    <tableColumn id="10" xr3:uid="{00000000-0010-0000-0000-00000A000000}" name="Target Units"/>
    <tableColumn id="11" xr3:uid="{00000000-0010-0000-0000-00000B000000}"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workbookViewId="0">
      <pane ySplit="1" topLeftCell="A2" activePane="bottomLeft" state="frozen"/>
      <selection pane="bottomLeft"/>
    </sheetView>
  </sheetViews>
  <sheetFormatPr defaultRowHeight="14.4"/>
  <cols>
    <col min="1" max="2" width="11" customWidth="1"/>
    <col min="3" max="3" width="10" customWidth="1"/>
    <col min="4" max="4" width="14" customWidth="1"/>
    <col min="5" max="5" width="15" customWidth="1"/>
    <col min="6" max="6" width="16" customWidth="1"/>
    <col min="7" max="8" width="13" customWidth="1"/>
    <col min="9" max="9" width="12" customWidth="1"/>
    <col min="10" max="10" width="15" customWidth="1"/>
    <col min="11" max="11" width="13"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v>120</v>
      </c>
      <c r="H2">
        <v>450</v>
      </c>
      <c r="I2">
        <v>280</v>
      </c>
      <c r="J2">
        <v>100</v>
      </c>
      <c r="K2" s="2">
        <f t="shared" ref="K2:K17" si="0">G2 * H2</f>
        <v>54000</v>
      </c>
    </row>
    <row r="3" spans="1:11">
      <c r="A3" t="s">
        <v>17</v>
      </c>
      <c r="B3" t="s">
        <v>12</v>
      </c>
      <c r="C3" t="s">
        <v>18</v>
      </c>
      <c r="D3" t="s">
        <v>19</v>
      </c>
      <c r="E3" t="s">
        <v>20</v>
      </c>
      <c r="F3" t="s">
        <v>21</v>
      </c>
      <c r="G3">
        <v>80</v>
      </c>
      <c r="H3">
        <v>350</v>
      </c>
      <c r="I3">
        <v>200</v>
      </c>
      <c r="J3">
        <v>90</v>
      </c>
      <c r="K3" s="2">
        <f t="shared" si="0"/>
        <v>28000</v>
      </c>
    </row>
    <row r="4" spans="1:11">
      <c r="A4" t="s">
        <v>22</v>
      </c>
      <c r="B4" t="s">
        <v>12</v>
      </c>
      <c r="C4" t="s">
        <v>23</v>
      </c>
      <c r="D4" t="s">
        <v>24</v>
      </c>
      <c r="E4" t="s">
        <v>25</v>
      </c>
      <c r="F4" t="s">
        <v>16</v>
      </c>
      <c r="G4">
        <v>45</v>
      </c>
      <c r="H4">
        <v>5500</v>
      </c>
      <c r="I4">
        <v>3800</v>
      </c>
      <c r="J4">
        <v>50</v>
      </c>
      <c r="K4" s="2">
        <f t="shared" si="0"/>
        <v>247500</v>
      </c>
    </row>
    <row r="5" spans="1:11">
      <c r="A5" t="s">
        <v>26</v>
      </c>
      <c r="B5" t="s">
        <v>12</v>
      </c>
      <c r="C5" t="s">
        <v>27</v>
      </c>
      <c r="D5" t="s">
        <v>28</v>
      </c>
      <c r="E5" t="s">
        <v>29</v>
      </c>
      <c r="F5" t="s">
        <v>21</v>
      </c>
      <c r="G5">
        <v>60</v>
      </c>
      <c r="H5">
        <v>3200</v>
      </c>
      <c r="I5">
        <v>2100</v>
      </c>
      <c r="J5">
        <v>55</v>
      </c>
      <c r="K5" s="2">
        <f t="shared" si="0"/>
        <v>192000</v>
      </c>
    </row>
    <row r="6" spans="1:11">
      <c r="A6" t="s">
        <v>30</v>
      </c>
      <c r="B6" t="s">
        <v>31</v>
      </c>
      <c r="C6" t="s">
        <v>13</v>
      </c>
      <c r="D6" t="s">
        <v>14</v>
      </c>
      <c r="E6" t="s">
        <v>20</v>
      </c>
      <c r="F6" t="s">
        <v>16</v>
      </c>
      <c r="G6">
        <v>95</v>
      </c>
      <c r="H6">
        <v>380</v>
      </c>
      <c r="I6">
        <v>210</v>
      </c>
      <c r="J6">
        <v>100</v>
      </c>
      <c r="K6" s="2">
        <f t="shared" si="0"/>
        <v>36100</v>
      </c>
    </row>
    <row r="7" spans="1:11">
      <c r="A7" t="s">
        <v>32</v>
      </c>
      <c r="B7" t="s">
        <v>31</v>
      </c>
      <c r="C7" t="s">
        <v>18</v>
      </c>
      <c r="D7" t="s">
        <v>19</v>
      </c>
      <c r="E7" t="s">
        <v>25</v>
      </c>
      <c r="F7" t="s">
        <v>21</v>
      </c>
      <c r="G7">
        <v>55</v>
      </c>
      <c r="H7">
        <v>5200</v>
      </c>
      <c r="I7">
        <v>3600</v>
      </c>
      <c r="J7">
        <v>60</v>
      </c>
      <c r="K7" s="2">
        <f t="shared" si="0"/>
        <v>286000</v>
      </c>
    </row>
    <row r="8" spans="1:11">
      <c r="A8" t="s">
        <v>33</v>
      </c>
      <c r="B8" t="s">
        <v>31</v>
      </c>
      <c r="C8" t="s">
        <v>23</v>
      </c>
      <c r="D8" t="s">
        <v>24</v>
      </c>
      <c r="E8" t="s">
        <v>29</v>
      </c>
      <c r="F8" t="s">
        <v>16</v>
      </c>
      <c r="G8">
        <v>70</v>
      </c>
      <c r="H8">
        <v>3100</v>
      </c>
      <c r="I8">
        <v>2000</v>
      </c>
      <c r="J8">
        <v>65</v>
      </c>
      <c r="K8" s="2">
        <f t="shared" si="0"/>
        <v>217000</v>
      </c>
    </row>
    <row r="9" spans="1:11">
      <c r="A9" t="s">
        <v>34</v>
      </c>
      <c r="B9" t="s">
        <v>31</v>
      </c>
      <c r="C9" t="s">
        <v>27</v>
      </c>
      <c r="D9" t="s">
        <v>28</v>
      </c>
      <c r="E9" t="s">
        <v>15</v>
      </c>
      <c r="F9" t="s">
        <v>21</v>
      </c>
      <c r="G9">
        <v>110</v>
      </c>
      <c r="H9">
        <v>420</v>
      </c>
      <c r="I9">
        <v>260</v>
      </c>
      <c r="J9">
        <v>100</v>
      </c>
      <c r="K9" s="2">
        <f t="shared" si="0"/>
        <v>46200</v>
      </c>
    </row>
    <row r="10" spans="1:11">
      <c r="A10" t="s">
        <v>35</v>
      </c>
      <c r="B10" t="s">
        <v>36</v>
      </c>
      <c r="C10" t="s">
        <v>13</v>
      </c>
      <c r="D10" t="s">
        <v>14</v>
      </c>
      <c r="E10" t="s">
        <v>25</v>
      </c>
      <c r="F10" t="s">
        <v>16</v>
      </c>
      <c r="G10">
        <v>65</v>
      </c>
      <c r="H10">
        <v>5300</v>
      </c>
      <c r="I10">
        <v>3700</v>
      </c>
      <c r="J10">
        <v>60</v>
      </c>
      <c r="K10" s="2">
        <f t="shared" si="0"/>
        <v>344500</v>
      </c>
    </row>
    <row r="11" spans="1:11">
      <c r="A11" t="s">
        <v>37</v>
      </c>
      <c r="B11" t="s">
        <v>36</v>
      </c>
      <c r="C11" t="s">
        <v>18</v>
      </c>
      <c r="D11" t="s">
        <v>19</v>
      </c>
      <c r="E11" t="s">
        <v>29</v>
      </c>
      <c r="F11" t="s">
        <v>21</v>
      </c>
      <c r="G11">
        <v>85</v>
      </c>
      <c r="H11">
        <v>3000</v>
      </c>
      <c r="I11">
        <v>1950</v>
      </c>
      <c r="J11">
        <v>80</v>
      </c>
      <c r="K11" s="2">
        <f t="shared" si="0"/>
        <v>255000</v>
      </c>
    </row>
    <row r="12" spans="1:11">
      <c r="A12" t="s">
        <v>38</v>
      </c>
      <c r="B12" t="s">
        <v>36</v>
      </c>
      <c r="C12" t="s">
        <v>23</v>
      </c>
      <c r="D12" t="s">
        <v>24</v>
      </c>
      <c r="E12" t="s">
        <v>15</v>
      </c>
      <c r="F12" t="s">
        <v>16</v>
      </c>
      <c r="G12">
        <v>130</v>
      </c>
      <c r="H12">
        <v>460</v>
      </c>
      <c r="I12">
        <v>290</v>
      </c>
      <c r="J12">
        <v>120</v>
      </c>
      <c r="K12" s="2">
        <f t="shared" si="0"/>
        <v>59800</v>
      </c>
    </row>
    <row r="13" spans="1:11">
      <c r="A13" t="s">
        <v>39</v>
      </c>
      <c r="B13" t="s">
        <v>36</v>
      </c>
      <c r="C13" t="s">
        <v>27</v>
      </c>
      <c r="D13" t="s">
        <v>28</v>
      </c>
      <c r="E13" t="s">
        <v>20</v>
      </c>
      <c r="F13" t="s">
        <v>21</v>
      </c>
      <c r="G13">
        <v>75</v>
      </c>
      <c r="H13">
        <v>340</v>
      </c>
      <c r="I13">
        <v>190</v>
      </c>
      <c r="J13">
        <v>80</v>
      </c>
      <c r="K13" s="2">
        <f t="shared" si="0"/>
        <v>25500</v>
      </c>
    </row>
    <row r="14" spans="1:11">
      <c r="A14" t="s">
        <v>40</v>
      </c>
      <c r="B14" t="s">
        <v>41</v>
      </c>
      <c r="C14" t="s">
        <v>13</v>
      </c>
      <c r="D14" t="s">
        <v>14</v>
      </c>
      <c r="E14" t="s">
        <v>29</v>
      </c>
      <c r="F14" t="s">
        <v>16</v>
      </c>
      <c r="G14">
        <v>90</v>
      </c>
      <c r="H14">
        <v>3150</v>
      </c>
      <c r="I14">
        <v>2050</v>
      </c>
      <c r="J14">
        <v>85</v>
      </c>
      <c r="K14" s="2">
        <f t="shared" si="0"/>
        <v>283500</v>
      </c>
    </row>
    <row r="15" spans="1:11">
      <c r="A15" t="s">
        <v>42</v>
      </c>
      <c r="B15" t="s">
        <v>41</v>
      </c>
      <c r="C15" t="s">
        <v>18</v>
      </c>
      <c r="D15" t="s">
        <v>19</v>
      </c>
      <c r="E15" t="s">
        <v>15</v>
      </c>
      <c r="F15" t="s">
        <v>21</v>
      </c>
      <c r="G15">
        <v>100</v>
      </c>
      <c r="H15">
        <v>430</v>
      </c>
      <c r="I15">
        <v>270</v>
      </c>
      <c r="J15">
        <v>95</v>
      </c>
      <c r="K15" s="2">
        <f t="shared" si="0"/>
        <v>43000</v>
      </c>
    </row>
    <row r="16" spans="1:11">
      <c r="A16" t="s">
        <v>43</v>
      </c>
      <c r="B16" t="s">
        <v>41</v>
      </c>
      <c r="C16" t="s">
        <v>23</v>
      </c>
      <c r="D16" t="s">
        <v>24</v>
      </c>
      <c r="E16" t="s">
        <v>20</v>
      </c>
      <c r="F16" t="s">
        <v>16</v>
      </c>
      <c r="G16">
        <v>110</v>
      </c>
      <c r="H16">
        <v>360</v>
      </c>
      <c r="I16">
        <v>205</v>
      </c>
      <c r="J16">
        <v>100</v>
      </c>
      <c r="K16" s="2">
        <f t="shared" si="0"/>
        <v>39600</v>
      </c>
    </row>
    <row r="17" spans="1:11">
      <c r="A17" t="s">
        <v>44</v>
      </c>
      <c r="B17" t="s">
        <v>41</v>
      </c>
      <c r="C17" t="s">
        <v>27</v>
      </c>
      <c r="D17" t="s">
        <v>28</v>
      </c>
      <c r="E17" t="s">
        <v>25</v>
      </c>
      <c r="F17" t="s">
        <v>16</v>
      </c>
      <c r="G17">
        <v>50</v>
      </c>
      <c r="H17">
        <v>5400</v>
      </c>
      <c r="I17">
        <v>3750</v>
      </c>
      <c r="J17">
        <v>55</v>
      </c>
      <c r="K17" s="2">
        <f t="shared" si="0"/>
        <v>270000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heetViews>
  <sheetFormatPr defaultRowHeight="14.4"/>
  <cols>
    <col min="1" max="1" width="24" customWidth="1"/>
    <col min="2" max="2" width="30" customWidth="1"/>
    <col min="3" max="3" width="15" customWidth="1"/>
    <col min="4" max="4" width="30" customWidth="1"/>
    <col min="5" max="5" width="15" customWidth="1"/>
  </cols>
  <sheetData>
    <row r="1" spans="1:5" ht="30" customHeight="1">
      <c r="A1" s="8" t="s">
        <v>45</v>
      </c>
      <c r="B1" s="9"/>
      <c r="C1" s="9"/>
      <c r="D1" s="9"/>
      <c r="E1" s="9"/>
    </row>
    <row r="3" spans="1:5">
      <c r="A3" s="1" t="s">
        <v>46</v>
      </c>
      <c r="B3" s="1" t="s">
        <v>47</v>
      </c>
      <c r="C3" s="1" t="s">
        <v>48</v>
      </c>
      <c r="D3" s="1" t="s">
        <v>49</v>
      </c>
    </row>
    <row r="4" spans="1:5">
      <c r="A4" s="3" t="s">
        <v>10</v>
      </c>
      <c r="B4" s="4" t="s">
        <v>50</v>
      </c>
      <c r="C4" s="5" t="s">
        <v>51</v>
      </c>
      <c r="D4" s="5" t="s">
        <v>52</v>
      </c>
    </row>
  </sheetData>
  <mergeCells count="1">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33"/>
  <sheetViews>
    <sheetView workbookViewId="0"/>
  </sheetViews>
  <sheetFormatPr defaultRowHeight="14.4"/>
  <cols>
    <col min="1" max="1" width="21" customWidth="1"/>
    <col min="2" max="2" width="10.77734375" bestFit="1" customWidth="1"/>
    <col min="3" max="3" width="14.88671875" bestFit="1" customWidth="1"/>
    <col min="4" max="8" width="10" customWidth="1"/>
  </cols>
  <sheetData>
    <row r="1" spans="2:10" ht="34.950000000000003" customHeight="1">
      <c r="B1" s="18" t="s">
        <v>67</v>
      </c>
      <c r="C1" s="9"/>
      <c r="D1" s="9"/>
      <c r="E1" s="9"/>
      <c r="F1" s="9"/>
      <c r="G1" s="9"/>
      <c r="H1" s="9"/>
      <c r="I1" s="9"/>
      <c r="J1" s="9"/>
    </row>
    <row r="3" spans="2:10" ht="15.6">
      <c r="B3" s="19" t="s">
        <v>68</v>
      </c>
    </row>
    <row r="4" spans="2:10">
      <c r="B4" s="20" t="s">
        <v>2</v>
      </c>
      <c r="C4" t="s">
        <v>70</v>
      </c>
    </row>
    <row r="5" spans="2:10">
      <c r="B5" t="s">
        <v>23</v>
      </c>
      <c r="C5" s="2">
        <v>563900</v>
      </c>
    </row>
    <row r="6" spans="2:10">
      <c r="B6" t="s">
        <v>13</v>
      </c>
      <c r="C6" s="2">
        <v>718100</v>
      </c>
    </row>
    <row r="7" spans="2:10">
      <c r="B7" t="s">
        <v>18</v>
      </c>
      <c r="C7" s="2">
        <v>612000</v>
      </c>
    </row>
    <row r="8" spans="2:10">
      <c r="B8" t="s">
        <v>27</v>
      </c>
      <c r="C8" s="2">
        <v>533700</v>
      </c>
    </row>
    <row r="9" spans="2:10">
      <c r="B9" t="s">
        <v>69</v>
      </c>
      <c r="C9" s="2">
        <v>2427700</v>
      </c>
    </row>
    <row r="27" spans="2:3" ht="15.6">
      <c r="B27" s="19" t="s">
        <v>71</v>
      </c>
    </row>
    <row r="28" spans="2:3">
      <c r="B28" s="20" t="s">
        <v>4</v>
      </c>
      <c r="C28" t="s">
        <v>70</v>
      </c>
    </row>
    <row r="29" spans="2:3">
      <c r="B29" t="s">
        <v>20</v>
      </c>
      <c r="C29" s="2">
        <v>129200</v>
      </c>
    </row>
    <row r="30" spans="2:3">
      <c r="B30" t="s">
        <v>15</v>
      </c>
      <c r="C30" s="2">
        <v>203000</v>
      </c>
    </row>
    <row r="31" spans="2:3">
      <c r="B31" t="s">
        <v>25</v>
      </c>
      <c r="C31" s="2">
        <v>1148000</v>
      </c>
    </row>
    <row r="32" spans="2:3">
      <c r="B32" t="s">
        <v>29</v>
      </c>
      <c r="C32" s="2">
        <v>947500</v>
      </c>
    </row>
    <row r="33" spans="2:3">
      <c r="B33" t="s">
        <v>69</v>
      </c>
      <c r="C33" s="2">
        <v>2427700</v>
      </c>
    </row>
  </sheetData>
  <mergeCells count="1">
    <mergeCell ref="B1:J1"/>
  </mergeCells>
  <pageMargins left="0.75" right="0.75" top="1" bottom="1" header="0.5" footer="0.5"/>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3"/>
  <sheetViews>
    <sheetView workbookViewId="0"/>
  </sheetViews>
  <sheetFormatPr defaultRowHeight="14.4"/>
  <sheetData>
    <row r="1" spans="1:11" ht="30" customHeight="1">
      <c r="A1" s="10" t="s">
        <v>53</v>
      </c>
      <c r="B1" s="9"/>
      <c r="C1" s="9"/>
      <c r="D1" s="9"/>
      <c r="E1" s="9"/>
      <c r="F1" s="9"/>
      <c r="G1" s="9"/>
      <c r="H1" s="9"/>
    </row>
    <row r="3" spans="1:11">
      <c r="J3" t="s">
        <v>2</v>
      </c>
      <c r="K3" t="s">
        <v>10</v>
      </c>
    </row>
    <row r="4" spans="1:11">
      <c r="J4" t="s">
        <v>27</v>
      </c>
      <c r="K4">
        <v>533700</v>
      </c>
    </row>
    <row r="5" spans="1:11">
      <c r="J5" t="s">
        <v>18</v>
      </c>
      <c r="K5">
        <v>612000</v>
      </c>
    </row>
    <row r="6" spans="1:11">
      <c r="J6" t="s">
        <v>13</v>
      </c>
      <c r="K6">
        <v>718100</v>
      </c>
    </row>
    <row r="7" spans="1:11">
      <c r="J7" t="s">
        <v>23</v>
      </c>
      <c r="K7">
        <v>563900</v>
      </c>
    </row>
    <row r="19" spans="10:11">
      <c r="J19" t="s">
        <v>4</v>
      </c>
      <c r="K19" t="s">
        <v>10</v>
      </c>
    </row>
    <row r="20" spans="10:11">
      <c r="J20" t="s">
        <v>29</v>
      </c>
      <c r="K20">
        <v>947500</v>
      </c>
    </row>
    <row r="21" spans="10:11">
      <c r="J21" t="s">
        <v>25</v>
      </c>
      <c r="K21">
        <v>1148000</v>
      </c>
    </row>
    <row r="22" spans="10:11">
      <c r="J22" t="s">
        <v>15</v>
      </c>
      <c r="K22">
        <v>203000</v>
      </c>
    </row>
    <row r="23" spans="10:11">
      <c r="J23" t="s">
        <v>20</v>
      </c>
      <c r="K23">
        <v>129200</v>
      </c>
    </row>
  </sheetData>
  <mergeCells count="1">
    <mergeCell ref="A1:H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7"/>
  <sheetViews>
    <sheetView workbookViewId="0"/>
  </sheetViews>
  <sheetFormatPr defaultRowHeight="14.4"/>
  <cols>
    <col min="1" max="14" width="12" customWidth="1"/>
  </cols>
  <sheetData>
    <row r="1" spans="1:20" ht="25.05" customHeight="1">
      <c r="A1" s="11" t="s">
        <v>54</v>
      </c>
      <c r="B1" s="9"/>
      <c r="C1" s="9"/>
      <c r="D1" s="9"/>
      <c r="E1" s="9"/>
      <c r="F1" s="9"/>
      <c r="G1" s="9"/>
      <c r="H1" s="9"/>
      <c r="I1" s="9"/>
      <c r="J1" s="9"/>
      <c r="K1" s="9"/>
      <c r="L1" s="9"/>
      <c r="M1" s="9"/>
      <c r="N1" s="9"/>
    </row>
    <row r="2" spans="1:20" ht="25.05" customHeight="1">
      <c r="A2" s="9"/>
      <c r="B2" s="9"/>
      <c r="C2" s="9"/>
      <c r="D2" s="9"/>
      <c r="E2" s="9"/>
      <c r="F2" s="9"/>
      <c r="G2" s="9"/>
      <c r="H2" s="9"/>
      <c r="I2" s="9"/>
      <c r="J2" s="9"/>
      <c r="K2" s="9"/>
      <c r="L2" s="9"/>
      <c r="M2" s="9"/>
      <c r="N2" s="9"/>
    </row>
    <row r="3" spans="1:20">
      <c r="P3" t="s">
        <v>2</v>
      </c>
      <c r="Q3" t="s">
        <v>10</v>
      </c>
      <c r="S3" t="s">
        <v>4</v>
      </c>
      <c r="T3" t="s">
        <v>10</v>
      </c>
    </row>
    <row r="4" spans="1:20" ht="19.95" customHeight="1">
      <c r="A4" s="14" t="s">
        <v>55</v>
      </c>
      <c r="B4" s="9"/>
      <c r="C4" s="9"/>
      <c r="D4" s="9"/>
      <c r="E4" s="14" t="s">
        <v>56</v>
      </c>
      <c r="F4" s="9"/>
      <c r="G4" s="9"/>
      <c r="H4" s="9"/>
      <c r="I4" s="14" t="s">
        <v>57</v>
      </c>
      <c r="J4" s="9"/>
      <c r="K4" s="9"/>
      <c r="L4" s="9"/>
      <c r="P4" t="s">
        <v>27</v>
      </c>
      <c r="Q4">
        <v>533700</v>
      </c>
      <c r="S4" t="s">
        <v>29</v>
      </c>
      <c r="T4">
        <v>947500</v>
      </c>
    </row>
    <row r="5" spans="1:20" ht="30" customHeight="1">
      <c r="A5" s="13" t="s">
        <v>58</v>
      </c>
      <c r="B5" s="9"/>
      <c r="C5" s="9"/>
      <c r="D5" s="9"/>
      <c r="E5" s="16" t="s">
        <v>59</v>
      </c>
      <c r="F5" s="9"/>
      <c r="G5" s="9"/>
      <c r="H5" s="9"/>
      <c r="I5" s="12" t="s">
        <v>60</v>
      </c>
      <c r="J5" s="9"/>
      <c r="K5" s="9"/>
      <c r="L5" s="9"/>
      <c r="P5" t="s">
        <v>18</v>
      </c>
      <c r="Q5">
        <v>612000</v>
      </c>
      <c r="S5" t="s">
        <v>25</v>
      </c>
      <c r="T5">
        <v>1148000</v>
      </c>
    </row>
    <row r="6" spans="1:20" ht="15" customHeight="1">
      <c r="A6" s="9"/>
      <c r="B6" s="9"/>
      <c r="C6" s="9"/>
      <c r="D6" s="9"/>
      <c r="E6" s="9"/>
      <c r="F6" s="9"/>
      <c r="G6" s="9"/>
      <c r="H6" s="9"/>
      <c r="I6" s="9"/>
      <c r="J6" s="9"/>
      <c r="K6" s="9"/>
      <c r="L6" s="9"/>
      <c r="P6" t="s">
        <v>13</v>
      </c>
      <c r="Q6">
        <v>718100</v>
      </c>
      <c r="S6" t="s">
        <v>15</v>
      </c>
      <c r="T6">
        <v>203000</v>
      </c>
    </row>
    <row r="7" spans="1:20">
      <c r="P7" t="s">
        <v>23</v>
      </c>
      <c r="Q7">
        <v>563900</v>
      </c>
      <c r="S7" t="s">
        <v>20</v>
      </c>
      <c r="T7">
        <v>129200</v>
      </c>
    </row>
    <row r="25" spans="1:14" ht="15.6">
      <c r="A25" s="15" t="s">
        <v>61</v>
      </c>
      <c r="B25" s="9"/>
      <c r="C25" s="9"/>
      <c r="D25" s="9"/>
      <c r="E25" s="9"/>
      <c r="F25" s="9"/>
      <c r="G25" s="9"/>
      <c r="H25" s="9"/>
      <c r="I25" s="9"/>
      <c r="J25" s="9"/>
      <c r="K25" s="9"/>
      <c r="L25" s="9"/>
      <c r="M25" s="9"/>
      <c r="N25" s="9"/>
    </row>
    <row r="26" spans="1:14">
      <c r="A26" s="6" t="s">
        <v>62</v>
      </c>
      <c r="C26" s="7" t="s">
        <v>63</v>
      </c>
    </row>
    <row r="27" spans="1:14">
      <c r="A27" s="6" t="s">
        <v>64</v>
      </c>
      <c r="C27" s="7" t="s">
        <v>63</v>
      </c>
    </row>
  </sheetData>
  <mergeCells count="8">
    <mergeCell ref="A25:N25"/>
    <mergeCell ref="E5:H6"/>
    <mergeCell ref="A1:N2"/>
    <mergeCell ref="I5:L6"/>
    <mergeCell ref="A5:D6"/>
    <mergeCell ref="A4:D4"/>
    <mergeCell ref="E4:H4"/>
    <mergeCell ref="I4:L4"/>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
  <sheetViews>
    <sheetView workbookViewId="0"/>
  </sheetViews>
  <sheetFormatPr defaultRowHeight="14.4"/>
  <cols>
    <col min="1" max="1" width="80" customWidth="1"/>
  </cols>
  <sheetData>
    <row r="1" spans="1:8" ht="30" customHeight="1">
      <c r="A1" s="10" t="s">
        <v>65</v>
      </c>
      <c r="B1" s="9"/>
      <c r="C1" s="9"/>
      <c r="D1" s="9"/>
      <c r="E1" s="9"/>
      <c r="F1" s="9"/>
      <c r="G1" s="9"/>
      <c r="H1" s="9"/>
    </row>
    <row r="2" spans="1:8" ht="10.050000000000001" customHeight="1">
      <c r="A2" s="9"/>
      <c r="B2" s="9"/>
      <c r="C2" s="9"/>
      <c r="D2" s="9"/>
      <c r="E2" s="9"/>
      <c r="F2" s="9"/>
      <c r="G2" s="9"/>
      <c r="H2" s="9"/>
    </row>
    <row r="3" spans="1:8">
      <c r="A3" s="17" t="s">
        <v>66</v>
      </c>
      <c r="B3" s="9"/>
      <c r="C3" s="9"/>
      <c r="D3" s="9"/>
      <c r="E3" s="9"/>
      <c r="F3" s="9"/>
      <c r="G3" s="9"/>
      <c r="H3" s="9"/>
    </row>
  </sheetData>
  <mergeCells count="3">
    <mergeCell ref="A3:H3"/>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Calculations</vt:lpstr>
      <vt:lpstr>Analysis</vt:lpstr>
      <vt:lpstr>Charts</vt:lpstr>
      <vt:lpstr>Dashboard</vt:lpstr>
      <vt:lpstr>Assignment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Sunhith Reddy</cp:lastModifiedBy>
  <dcterms:created xsi:type="dcterms:W3CDTF">2026-09-10T04:20:00Z</dcterms:created>
  <dcterms:modified xsi:type="dcterms:W3CDTF">2026-09-10T04:20:13Z</dcterms:modified>
</cp:coreProperties>
</file>